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TheodorOwchariw\OneDrive - Dakota Matting\Documents\Developer Department\Shellhacks 2026\GridLock Challenge\OneDrive Location\Transmission Plans\"/>
    </mc:Choice>
  </mc:AlternateContent>
  <xr:revisionPtr revIDLastSave="132" documentId="13_ncr:1_{9C5DB3F2-C7D1-4A67-A8A1-4CCA3891403E}" xr6:coauthVersionLast="47" xr6:coauthVersionMax="47" xr10:uidLastSave="{06680B4E-4930-44BF-85DC-8AD27A5DA92B}"/>
  <bookViews>
    <workbookView xWindow="2194" yWindow="2194" windowWidth="16457" windowHeight="9455" tabRatio="500" firstSheet="1" activeTab="1" xr2:uid="{00000000-000D-0000-FFFF-FFFF00000000}"/>
  </bookViews>
  <sheets>
    <sheet name="projects" sheetId="1" r:id="rId1"/>
    <sheet name="overlap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K3" i="1"/>
  <c r="K4" i="1"/>
  <c r="K5" i="1"/>
  <c r="K6" i="1"/>
  <c r="K7" i="1"/>
  <c r="K8" i="1"/>
  <c r="K9" i="1"/>
  <c r="K10" i="1"/>
  <c r="K11" i="1"/>
  <c r="L2" i="1"/>
  <c r="K2" i="1"/>
</calcChain>
</file>

<file path=xl/sharedStrings.xml><?xml version="1.0" encoding="utf-8"?>
<sst xmlns="http://schemas.openxmlformats.org/spreadsheetml/2006/main" count="148" uniqueCount="80">
  <si>
    <t>project_id</t>
  </si>
  <si>
    <t>utility</t>
  </si>
  <si>
    <t>state</t>
  </si>
  <si>
    <t>project_name</t>
  </si>
  <si>
    <t>name_a</t>
  </si>
  <si>
    <t>lat_a</t>
  </si>
  <si>
    <t>lon_a</t>
  </si>
  <si>
    <t>name_b</t>
  </si>
  <si>
    <t>lat_b</t>
  </si>
  <si>
    <t>lon_b</t>
  </si>
  <si>
    <t>lat_center</t>
  </si>
  <si>
    <t>lon_center</t>
  </si>
  <si>
    <t>in_service_date</t>
  </si>
  <si>
    <t>overlap_count</t>
  </si>
  <si>
    <t>overlap_1</t>
  </si>
  <si>
    <t>overlap_2</t>
  </si>
  <si>
    <t>overlap_3</t>
  </si>
  <si>
    <t>DESC_1</t>
  </si>
  <si>
    <t>Dominion Energy South Carolina</t>
  </si>
  <si>
    <t>SC</t>
  </si>
  <si>
    <t>Stevens Creek - Hooks 115 kV / LR Plumb Branch 46 kV Rebuilds</t>
  </si>
  <si>
    <t>Stevens Creek Sub</t>
  </si>
  <si>
    <t>Hooks Sub</t>
  </si>
  <si>
    <t>12/31/2024</t>
  </si>
  <si>
    <t>GPC_1</t>
  </si>
  <si>
    <t>DESC_2</t>
  </si>
  <si>
    <t>Hooks - Thurmond 115 kV Tie: Rebuild</t>
  </si>
  <si>
    <t>Thurmond Sub</t>
  </si>
  <si>
    <t>DESC_3</t>
  </si>
  <si>
    <t>Jasper - Okatie 230 kV #2: Construct</t>
  </si>
  <si>
    <t>Jasper Sub</t>
  </si>
  <si>
    <t>Okatie Sub</t>
  </si>
  <si>
    <t>12/31/2025</t>
  </si>
  <si>
    <t>GPC_2</t>
  </si>
  <si>
    <t>GPC_3</t>
  </si>
  <si>
    <t>DESC_4</t>
  </si>
  <si>
    <t>Queensboro - Ft Johnson 115 kV &amp; Queensboro-Bayfront 115 kV (Queensboro-James Island Sect)</t>
  </si>
  <si>
    <t>Queensboro Sub</t>
  </si>
  <si>
    <t>Ft Johnson Sub</t>
  </si>
  <si>
    <t>12/31/2023</t>
  </si>
  <si>
    <t>DESC_5</t>
  </si>
  <si>
    <t>Okatie-Bluffton 115 kV: Rebuild</t>
  </si>
  <si>
    <t>Bluffton Sub</t>
  </si>
  <si>
    <t>Georgia Power</t>
  </si>
  <si>
    <t>GA</t>
  </si>
  <si>
    <t>EVANS PRIMARY - THURMOND DAM (USA) #5 115KV REBUILD</t>
  </si>
  <si>
    <t>EVANS PRIMARY</t>
  </si>
  <si>
    <t>THURMOND DAM #5</t>
  </si>
  <si>
    <t>6/1/2033</t>
  </si>
  <si>
    <t>SAV: MCINTOSH - PURRYSBURG 230KV REACTORS</t>
  </si>
  <si>
    <t>MCINTOSH</t>
  </si>
  <si>
    <t>PURRYSBURG</t>
  </si>
  <si>
    <t>6/1/2026</t>
  </si>
  <si>
    <t>SAV: GOSHEN (SAV) - MCINTOSH 115KV LINE REBUILD</t>
  </si>
  <si>
    <t>GOSHEN</t>
  </si>
  <si>
    <t>6/1/2027</t>
  </si>
  <si>
    <t>GPC_4</t>
  </si>
  <si>
    <t>MITCHELL - NORTH TIFTON 230KV RECONDUCTOR</t>
  </si>
  <si>
    <t>Mitchell Substation</t>
  </si>
  <si>
    <t>North Tifton Substation</t>
  </si>
  <si>
    <t>GPC_5</t>
  </si>
  <si>
    <t>JESUP - LUDOWICI PRIMARY 115KV REBUILD</t>
  </si>
  <si>
    <t>JESUP</t>
  </si>
  <si>
    <t>LUDOWICI PRIMARY</t>
  </si>
  <si>
    <t>6/1/2025</t>
  </si>
  <si>
    <t>overlap_id</t>
  </si>
  <si>
    <t>distance_mi</t>
  </si>
  <si>
    <t>time_gap (day)</t>
  </si>
  <si>
    <t>utility_a</t>
  </si>
  <si>
    <t>project_id_a</t>
  </si>
  <si>
    <t>project_name_a</t>
  </si>
  <si>
    <t>utility_b</t>
  </si>
  <si>
    <t>project_id_b</t>
  </si>
  <si>
    <t>project_name_b</t>
  </si>
  <si>
    <t>OVL_1</t>
  </si>
  <si>
    <t>OVL_2</t>
  </si>
  <si>
    <t>OVL_3</t>
  </si>
  <si>
    <t>OVL_4</t>
  </si>
  <si>
    <t>OVL_5</t>
  </si>
  <si>
    <t>OVL_6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</si>
</sst>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zoomScale="85" zoomScaleNormal="40" workbookViewId="0">
      <pane xSplit="1" ySplit="1" topLeftCell="B2" activePane="bottomRight" state="frozen"/>
      <selection pane="bottomRight" activeCell="E9" sqref="E9"/>
      <selection pane="bottomLeft" activeCell="A2" sqref="A2"/>
      <selection pane="topRight" activeCell="B1" sqref="B1"/>
    </sheetView>
  </sheetViews>
  <sheetFormatPr defaultColWidth="8.7109375" defaultRowHeight="14.65"/>
  <cols>
    <col min="1" max="1" width="12" style="1" customWidth="1"/>
    <col min="2" max="2" width="30" style="1" customWidth="1"/>
    <col min="3" max="3" width="7" style="1" customWidth="1"/>
    <col min="4" max="4" width="105.5703125" style="1" customWidth="1"/>
    <col min="5" max="5" width="24" style="1" customWidth="1"/>
    <col min="6" max="7" width="11" style="1" customWidth="1"/>
    <col min="8" max="8" width="26" style="1" customWidth="1"/>
    <col min="9" max="10" width="11" style="1" customWidth="1"/>
    <col min="11" max="12" width="12" style="1" customWidth="1"/>
    <col min="13" max="13" width="16" style="1" customWidth="1"/>
    <col min="14" max="14" width="14" style="1" customWidth="1"/>
    <col min="15" max="17" width="12" style="1" customWidth="1"/>
    <col min="18" max="16384" width="8.7109375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>
        <v>33.562598999999999</v>
      </c>
      <c r="G2" s="3">
        <v>-82.051361999999997</v>
      </c>
      <c r="H2" s="3" t="s">
        <v>22</v>
      </c>
      <c r="I2" s="3"/>
      <c r="J2" s="3"/>
      <c r="K2" s="4">
        <f>IF(ISBLANK(I2), F2, IF(ISBLANK(F2), I2, (F2+I2)/2))</f>
        <v>33.562598999999999</v>
      </c>
      <c r="L2" s="4">
        <f>IF(ISBLANK(J2), G2, IF(ISBLANK(G2), J2, (G2+J2)/2))</f>
        <v>-82.051361999999997</v>
      </c>
      <c r="M2" s="3" t="s">
        <v>23</v>
      </c>
      <c r="N2" s="3">
        <v>1</v>
      </c>
      <c r="O2" s="3" t="s">
        <v>24</v>
      </c>
      <c r="P2" s="3"/>
      <c r="Q2" s="3"/>
    </row>
    <row r="3" spans="1:17">
      <c r="A3" s="3" t="s">
        <v>25</v>
      </c>
      <c r="B3" s="3" t="s">
        <v>18</v>
      </c>
      <c r="C3" s="3" t="s">
        <v>19</v>
      </c>
      <c r="D3" s="3" t="s">
        <v>26</v>
      </c>
      <c r="E3" s="3" t="s">
        <v>22</v>
      </c>
      <c r="F3" s="3"/>
      <c r="G3" s="3"/>
      <c r="H3" s="3" t="s">
        <v>27</v>
      </c>
      <c r="I3" s="3">
        <v>33.660127000000003</v>
      </c>
      <c r="J3" s="3">
        <v>-82.195931000000002</v>
      </c>
      <c r="K3" s="4">
        <f t="shared" ref="K3:K11" si="0">IF(ISBLANK(I3), F3, IF(ISBLANK(F3), I3, (F3+I3)/2))</f>
        <v>33.660127000000003</v>
      </c>
      <c r="L3" s="4">
        <f t="shared" ref="L3:L11" si="1">IF(ISBLANK(J3), G3, IF(ISBLANK(G3), J3, (G3+J3)/2))</f>
        <v>-82.195931000000002</v>
      </c>
      <c r="M3" s="3" t="s">
        <v>23</v>
      </c>
      <c r="N3" s="3">
        <v>1</v>
      </c>
      <c r="O3" s="3" t="s">
        <v>24</v>
      </c>
      <c r="P3" s="3"/>
      <c r="Q3" s="3"/>
    </row>
    <row r="4" spans="1:17">
      <c r="A4" s="3" t="s">
        <v>28</v>
      </c>
      <c r="B4" s="3" t="s">
        <v>18</v>
      </c>
      <c r="C4" s="3" t="s">
        <v>19</v>
      </c>
      <c r="D4" s="3" t="s">
        <v>29</v>
      </c>
      <c r="E4" s="3" t="s">
        <v>30</v>
      </c>
      <c r="F4" s="3">
        <v>32.359119999999997</v>
      </c>
      <c r="G4" s="3">
        <v>-81.124600000000001</v>
      </c>
      <c r="H4" s="3" t="s">
        <v>31</v>
      </c>
      <c r="I4" s="3">
        <v>32.333758000000003</v>
      </c>
      <c r="J4" s="3">
        <v>-81.032494999999997</v>
      </c>
      <c r="K4" s="4">
        <f t="shared" si="0"/>
        <v>32.346439000000004</v>
      </c>
      <c r="L4" s="4">
        <f t="shared" si="1"/>
        <v>-81.078547499999999</v>
      </c>
      <c r="M4" s="3" t="s">
        <v>32</v>
      </c>
      <c r="N4" s="3">
        <v>2</v>
      </c>
      <c r="O4" s="3" t="s">
        <v>33</v>
      </c>
      <c r="P4" s="3" t="s">
        <v>34</v>
      </c>
      <c r="Q4" s="3"/>
    </row>
    <row r="5" spans="1:17">
      <c r="A5" s="3" t="s">
        <v>35</v>
      </c>
      <c r="B5" s="3" t="s">
        <v>18</v>
      </c>
      <c r="C5" s="3" t="s">
        <v>19</v>
      </c>
      <c r="D5" s="3" t="s">
        <v>36</v>
      </c>
      <c r="E5" s="3" t="s">
        <v>37</v>
      </c>
      <c r="F5" s="3">
        <v>32.722793000000003</v>
      </c>
      <c r="G5" s="3">
        <v>-79.967331999999999</v>
      </c>
      <c r="H5" s="3" t="s">
        <v>38</v>
      </c>
      <c r="I5" s="3"/>
      <c r="J5" s="3"/>
      <c r="K5" s="4">
        <f t="shared" si="0"/>
        <v>32.722793000000003</v>
      </c>
      <c r="L5" s="4">
        <f t="shared" si="1"/>
        <v>-79.967331999999999</v>
      </c>
      <c r="M5" s="3" t="s">
        <v>39</v>
      </c>
      <c r="N5" s="3">
        <v>0</v>
      </c>
      <c r="O5" s="3"/>
      <c r="P5" s="3"/>
      <c r="Q5" s="3"/>
    </row>
    <row r="6" spans="1:17">
      <c r="A6" s="3" t="s">
        <v>40</v>
      </c>
      <c r="B6" s="3" t="s">
        <v>18</v>
      </c>
      <c r="C6" s="3" t="s">
        <v>19</v>
      </c>
      <c r="D6" s="3" t="s">
        <v>41</v>
      </c>
      <c r="E6" s="3" t="s">
        <v>31</v>
      </c>
      <c r="F6" s="3">
        <v>32.333758000000003</v>
      </c>
      <c r="G6" s="3">
        <v>-81.032494999999997</v>
      </c>
      <c r="H6" s="3" t="s">
        <v>42</v>
      </c>
      <c r="I6" s="3">
        <v>32.235027000000002</v>
      </c>
      <c r="J6" s="3">
        <v>-80.853384000000005</v>
      </c>
      <c r="K6" s="4">
        <f t="shared" si="0"/>
        <v>32.284392500000003</v>
      </c>
      <c r="L6" s="4">
        <f t="shared" si="1"/>
        <v>-80.942939499999994</v>
      </c>
      <c r="M6" s="5">
        <v>45809</v>
      </c>
      <c r="N6" s="3">
        <v>2</v>
      </c>
      <c r="O6" s="3" t="s">
        <v>33</v>
      </c>
      <c r="P6" s="3" t="s">
        <v>34</v>
      </c>
      <c r="Q6" s="3"/>
    </row>
    <row r="7" spans="1:17">
      <c r="A7" s="3" t="s">
        <v>24</v>
      </c>
      <c r="B7" s="3" t="s">
        <v>43</v>
      </c>
      <c r="C7" s="3" t="s">
        <v>44</v>
      </c>
      <c r="D7" s="3" t="s">
        <v>45</v>
      </c>
      <c r="E7" s="3" t="s">
        <v>46</v>
      </c>
      <c r="F7" s="3">
        <v>33.543993999999998</v>
      </c>
      <c r="G7" s="3">
        <v>-82.168648000000005</v>
      </c>
      <c r="H7" s="3" t="s">
        <v>47</v>
      </c>
      <c r="I7" s="3">
        <v>33.660127000000003</v>
      </c>
      <c r="J7" s="3">
        <v>-82.195931000000002</v>
      </c>
      <c r="K7" s="4">
        <f t="shared" si="0"/>
        <v>33.6020605</v>
      </c>
      <c r="L7" s="4">
        <f t="shared" si="1"/>
        <v>-82.182289499999996</v>
      </c>
      <c r="M7" s="3" t="s">
        <v>48</v>
      </c>
      <c r="N7" s="3">
        <v>2</v>
      </c>
      <c r="O7" s="3" t="s">
        <v>25</v>
      </c>
      <c r="P7" s="3" t="s">
        <v>17</v>
      </c>
      <c r="Q7" s="3"/>
    </row>
    <row r="8" spans="1:17">
      <c r="A8" s="3" t="s">
        <v>33</v>
      </c>
      <c r="B8" s="3" t="s">
        <v>43</v>
      </c>
      <c r="C8" s="3" t="s">
        <v>44</v>
      </c>
      <c r="D8" s="3" t="s">
        <v>49</v>
      </c>
      <c r="E8" s="3" t="s">
        <v>50</v>
      </c>
      <c r="F8" s="3">
        <v>32.352116000000002</v>
      </c>
      <c r="G8" s="3">
        <v>-81.175111999999999</v>
      </c>
      <c r="H8" s="3" t="s">
        <v>51</v>
      </c>
      <c r="I8" s="3"/>
      <c r="J8" s="3"/>
      <c r="K8" s="4">
        <f t="shared" si="0"/>
        <v>32.352116000000002</v>
      </c>
      <c r="L8" s="4">
        <f t="shared" si="1"/>
        <v>-81.175111999999999</v>
      </c>
      <c r="M8" s="3" t="s">
        <v>52</v>
      </c>
      <c r="N8" s="3">
        <v>2</v>
      </c>
      <c r="O8" s="3" t="s">
        <v>28</v>
      </c>
      <c r="P8" s="3" t="s">
        <v>40</v>
      </c>
      <c r="Q8" s="3"/>
    </row>
    <row r="9" spans="1:17">
      <c r="A9" s="3" t="s">
        <v>34</v>
      </c>
      <c r="B9" s="3" t="s">
        <v>43</v>
      </c>
      <c r="C9" s="3" t="s">
        <v>44</v>
      </c>
      <c r="D9" s="3" t="s">
        <v>53</v>
      </c>
      <c r="E9" s="3" t="s">
        <v>54</v>
      </c>
      <c r="F9" s="3">
        <v>32.248700999999997</v>
      </c>
      <c r="G9" s="3">
        <v>-81.209472000000005</v>
      </c>
      <c r="H9" s="3" t="s">
        <v>50</v>
      </c>
      <c r="I9" s="3">
        <v>32.352116000000002</v>
      </c>
      <c r="J9" s="3">
        <v>-81.182105000000007</v>
      </c>
      <c r="K9" s="4">
        <f t="shared" si="0"/>
        <v>32.300408500000003</v>
      </c>
      <c r="L9" s="4">
        <f t="shared" si="1"/>
        <v>-81.195788500000006</v>
      </c>
      <c r="M9" s="3" t="s">
        <v>55</v>
      </c>
      <c r="N9" s="3">
        <v>2</v>
      </c>
      <c r="O9" s="3" t="s">
        <v>28</v>
      </c>
      <c r="P9" s="3" t="s">
        <v>40</v>
      </c>
      <c r="Q9" s="3"/>
    </row>
    <row r="10" spans="1:17">
      <c r="A10" s="3" t="s">
        <v>56</v>
      </c>
      <c r="B10" s="3" t="s">
        <v>43</v>
      </c>
      <c r="C10" s="3" t="s">
        <v>44</v>
      </c>
      <c r="D10" s="3" t="s">
        <v>57</v>
      </c>
      <c r="E10" s="3" t="s">
        <v>58</v>
      </c>
      <c r="F10" s="3">
        <v>31.447120999999999</v>
      </c>
      <c r="G10" s="3">
        <v>-84.133842999999999</v>
      </c>
      <c r="H10" s="3" t="s">
        <v>59</v>
      </c>
      <c r="I10" s="3">
        <v>31.478089000000001</v>
      </c>
      <c r="J10" s="3">
        <v>-83.549130000000005</v>
      </c>
      <c r="K10" s="4">
        <f t="shared" si="0"/>
        <v>31.462605</v>
      </c>
      <c r="L10" s="4">
        <f t="shared" si="1"/>
        <v>-83.841486500000002</v>
      </c>
      <c r="M10" s="5">
        <v>45778</v>
      </c>
      <c r="N10" s="3">
        <v>0</v>
      </c>
      <c r="O10" s="3"/>
      <c r="P10" s="3"/>
      <c r="Q10" s="3"/>
    </row>
    <row r="11" spans="1:17">
      <c r="A11" s="3" t="s">
        <v>60</v>
      </c>
      <c r="B11" s="3" t="s">
        <v>43</v>
      </c>
      <c r="C11" s="3" t="s">
        <v>44</v>
      </c>
      <c r="D11" s="3" t="s">
        <v>61</v>
      </c>
      <c r="E11" s="3" t="s">
        <v>62</v>
      </c>
      <c r="F11" s="3">
        <v>31.603106</v>
      </c>
      <c r="G11" s="3">
        <v>-81.924947000000003</v>
      </c>
      <c r="H11" s="3" t="s">
        <v>63</v>
      </c>
      <c r="I11" s="3">
        <v>31.721596999999999</v>
      </c>
      <c r="J11" s="3">
        <v>-81.743702999999996</v>
      </c>
      <c r="K11" s="4">
        <f t="shared" si="0"/>
        <v>31.6623515</v>
      </c>
      <c r="L11" s="4">
        <f t="shared" si="1"/>
        <v>-81.834325000000007</v>
      </c>
      <c r="M11" s="3" t="s">
        <v>64</v>
      </c>
      <c r="N11" s="3">
        <v>0</v>
      </c>
      <c r="O11" s="3"/>
      <c r="P11" s="3"/>
      <c r="Q11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zoomScaleNormal="100" workbookViewId="0">
      <pane xSplit="1" ySplit="1" topLeftCell="B2" activePane="bottomRight" state="frozen"/>
      <selection pane="bottomRight" activeCell="D9" sqref="D9"/>
      <selection pane="bottomLeft" activeCell="A2" sqref="A2"/>
      <selection pane="topRight" activeCell="B1" sqref="B1"/>
    </sheetView>
  </sheetViews>
  <sheetFormatPr defaultColWidth="8.7109375" defaultRowHeight="14.65"/>
  <cols>
    <col min="1" max="1" width="12.42578125" customWidth="1"/>
    <col min="2" max="2" width="15.140625" customWidth="1"/>
    <col min="3" max="3" width="25.85546875" customWidth="1"/>
    <col min="4" max="4" width="30.85546875" customWidth="1"/>
    <col min="5" max="5" width="30" customWidth="1"/>
    <col min="6" max="6" width="67.7109375" customWidth="1"/>
    <col min="7" max="7" width="18.85546875" customWidth="1"/>
    <col min="8" max="8" width="23.85546875" customWidth="1"/>
    <col min="9" max="9" width="62.42578125" customWidth="1"/>
    <col min="10" max="10" width="30" customWidth="1"/>
    <col min="11" max="11" width="12" customWidth="1"/>
    <col min="12" max="12" width="52" customWidth="1"/>
    <col min="13" max="14" width="12" customWidth="1"/>
  </cols>
  <sheetData>
    <row r="1" spans="1:9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</row>
    <row r="2" spans="1:9">
      <c r="A2" s="3" t="s">
        <v>74</v>
      </c>
      <c r="B2" s="3">
        <v>4.09</v>
      </c>
      <c r="C2" s="4">
        <v>3074</v>
      </c>
      <c r="D2" s="3" t="s">
        <v>18</v>
      </c>
      <c r="E2" s="3" t="s">
        <v>25</v>
      </c>
      <c r="F2" s="3" t="s">
        <v>26</v>
      </c>
      <c r="G2" s="3" t="s">
        <v>43</v>
      </c>
      <c r="H2" s="3" t="s">
        <v>24</v>
      </c>
      <c r="I2" s="3" t="s">
        <v>45</v>
      </c>
    </row>
    <row r="3" spans="1:9">
      <c r="A3" s="3" t="s">
        <v>75</v>
      </c>
      <c r="B3" s="3">
        <v>5.65</v>
      </c>
      <c r="C3" s="4">
        <v>152</v>
      </c>
      <c r="D3" s="3" t="s">
        <v>18</v>
      </c>
      <c r="E3" s="3" t="s">
        <v>28</v>
      </c>
      <c r="F3" s="3" t="s">
        <v>29</v>
      </c>
      <c r="G3" s="3" t="s">
        <v>43</v>
      </c>
      <c r="H3" s="3" t="s">
        <v>33</v>
      </c>
      <c r="I3" s="3" t="s">
        <v>49</v>
      </c>
    </row>
    <row r="4" spans="1:9">
      <c r="A4" s="3" t="s">
        <v>76</v>
      </c>
      <c r="B4" s="3">
        <v>7.55</v>
      </c>
      <c r="C4" s="4">
        <v>517</v>
      </c>
      <c r="D4" s="3" t="s">
        <v>18</v>
      </c>
      <c r="E4" s="3" t="s">
        <v>28</v>
      </c>
      <c r="F4" s="3" t="s">
        <v>29</v>
      </c>
      <c r="G4" s="3" t="s">
        <v>43</v>
      </c>
      <c r="H4" s="3" t="s">
        <v>34</v>
      </c>
      <c r="I4" s="3" t="s">
        <v>53</v>
      </c>
    </row>
    <row r="5" spans="1:9">
      <c r="A5" s="3" t="s">
        <v>77</v>
      </c>
      <c r="B5" s="3">
        <v>8.01</v>
      </c>
      <c r="C5" s="4">
        <v>3074</v>
      </c>
      <c r="D5" s="3" t="s">
        <v>18</v>
      </c>
      <c r="E5" s="3" t="s">
        <v>17</v>
      </c>
      <c r="F5" s="3" t="s">
        <v>20</v>
      </c>
      <c r="G5" s="3" t="s">
        <v>43</v>
      </c>
      <c r="H5" s="3" t="s">
        <v>24</v>
      </c>
      <c r="I5" s="3" t="s">
        <v>45</v>
      </c>
    </row>
    <row r="6" spans="1:9">
      <c r="A6" s="3" t="s">
        <v>78</v>
      </c>
      <c r="B6" s="3">
        <v>14.34</v>
      </c>
      <c r="C6" s="4">
        <v>365</v>
      </c>
      <c r="D6" s="3" t="s">
        <v>18</v>
      </c>
      <c r="E6" s="3" t="s">
        <v>40</v>
      </c>
      <c r="F6" s="3" t="s">
        <v>41</v>
      </c>
      <c r="G6" s="3" t="s">
        <v>43</v>
      </c>
      <c r="H6" s="3" t="s">
        <v>33</v>
      </c>
      <c r="I6" s="3" t="s">
        <v>49</v>
      </c>
    </row>
    <row r="7" spans="1:9">
      <c r="A7" s="3" t="s">
        <v>79</v>
      </c>
      <c r="B7" s="3">
        <v>14.81</v>
      </c>
      <c r="C7" s="4">
        <v>730</v>
      </c>
      <c r="D7" s="3" t="s">
        <v>18</v>
      </c>
      <c r="E7" s="3" t="s">
        <v>40</v>
      </c>
      <c r="F7" s="3" t="s">
        <v>41</v>
      </c>
      <c r="G7" s="3" t="s">
        <v>43</v>
      </c>
      <c r="H7" s="3" t="s">
        <v>34</v>
      </c>
      <c r="I7" s="3" t="s">
        <v>53</v>
      </c>
    </row>
  </sheetData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Theodor Owchariw</cp:lastModifiedBy>
  <cp:revision>0</cp:revision>
  <dcterms:created xsi:type="dcterms:W3CDTF">2026-08-25T23:21:37Z</dcterms:created>
  <dcterms:modified xsi:type="dcterms:W3CDTF">2026-08-26T13:00:15Z</dcterms:modified>
  <cp:category/>
  <cp:contentStatus/>
</cp:coreProperties>
</file>